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백신영수증(작성예시)" sheetId="1" state="visible" r:id="rId1"/>
    <sheet name="백신영수증(빈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3">
    <font>
      <name val="Calibri"/>
      <family val="2"/>
      <color theme="1"/>
      <sz val="11"/>
      <scheme val="minor"/>
    </font>
    <font>
      <name val="맑은 고딕"/>
      <b val="1"/>
      <color rgb="00000000"/>
      <sz val="22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0000FF"/>
      <sz val="11"/>
    </font>
    <font>
      <name val="맑은 고딕"/>
      <b val="1"/>
      <color rgb="000000FF"/>
      <sz val="13"/>
    </font>
    <font>
      <name val="맑은 고딕"/>
      <b val="1"/>
      <color rgb="00000000"/>
      <sz val="12"/>
    </font>
    <font>
      <name val="맑은 고딕"/>
      <b val="1"/>
      <color rgb="00000000"/>
      <sz val="10"/>
    </font>
    <font>
      <name val="맑은 고딕"/>
      <color rgb="00595959"/>
      <sz val="9"/>
    </font>
    <font>
      <name val="맑은 고딕"/>
      <b val="1"/>
      <color rgb="000000FF"/>
      <sz val="12"/>
    </font>
    <font>
      <name val="맑은 고딕"/>
      <color rgb="00000000"/>
      <sz val="10"/>
    </font>
    <font>
      <name val="맑은 고딕"/>
      <color rgb="000000FF"/>
      <sz val="12"/>
    </font>
    <font>
      <name val="맑은 고딕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2" borderId="2" pivotButton="0" quotePrefix="0" xfId="0"/>
    <xf numFmtId="0" fontId="7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 wrapText="1"/>
    </xf>
    <xf numFmtId="164" fontId="9" fillId="3" borderId="2" applyAlignment="1" pivotButton="0" quotePrefix="0" xfId="0">
      <alignment horizontal="right" vertical="center"/>
    </xf>
    <xf numFmtId="0" fontId="0" fillId="3" borderId="2" pivotButton="0" quotePrefix="0" xfId="0"/>
    <xf numFmtId="0" fontId="10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9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6" customWidth="1" min="5" max="5"/>
    <col width="15" customWidth="1" min="6" max="6"/>
  </cols>
  <sheetData>
    <row r="1" ht="40" customHeight="1">
      <c r="A1" s="1" t="inlineStr">
        <is>
          <t>구제역 백신  영 수 증</t>
        </is>
      </c>
      <c r="E1" s="2" t="inlineStr">
        <is>
          <t>(농가 보관용)</t>
        </is>
      </c>
    </row>
    <row r="3">
      <c r="A3" s="3" t="inlineStr">
        <is>
          <t>No.</t>
        </is>
      </c>
      <c r="B3" s="4" t="inlineStr">
        <is>
          <t>2026-001</t>
        </is>
      </c>
      <c r="D3" s="5" t="inlineStr">
        <is>
          <t>2026년 10월 27일</t>
        </is>
      </c>
    </row>
    <row r="4">
      <c r="A4" s="3" t="inlineStr">
        <is>
          <t>공급받는자</t>
        </is>
      </c>
      <c r="B4" s="6" t="inlineStr">
        <is>
          <t>보람농장 / 홍길동</t>
        </is>
      </c>
      <c r="C4" s="7" t="n"/>
      <c r="D4" s="7" t="n"/>
      <c r="E4" s="7" t="n"/>
      <c r="F4" s="8" t="inlineStr">
        <is>
          <t>귀 하</t>
        </is>
      </c>
    </row>
    <row r="6" ht="24" customHeight="1">
      <c r="A6" s="9" t="inlineStr">
        <is>
          <t>공
급
자</t>
        </is>
      </c>
      <c r="B6" s="10" t="inlineStr">
        <is>
          <t>사업자등록번호</t>
        </is>
      </c>
      <c r="C6" s="11" t="inlineStr">
        <is>
          <t>123-45-67890</t>
        </is>
      </c>
      <c r="D6" s="12" t="n"/>
      <c r="E6" s="12" t="n"/>
      <c r="F6" s="12" t="n"/>
    </row>
    <row r="7" ht="24" customHeight="1">
      <c r="A7" s="13" t="n"/>
      <c r="B7" s="10" t="inlineStr">
        <is>
          <t>상호(기관명)</t>
        </is>
      </c>
      <c r="C7" s="11" t="inlineStr">
        <is>
          <t>○○축산업협동조합</t>
        </is>
      </c>
      <c r="D7" s="12" t="n"/>
      <c r="E7" s="10" t="inlineStr">
        <is>
          <t>대표자</t>
        </is>
      </c>
      <c r="F7" s="11" t="inlineStr">
        <is>
          <t>홍길동  (인)</t>
        </is>
      </c>
    </row>
    <row r="8" ht="24" customHeight="1">
      <c r="A8" s="13" t="n"/>
      <c r="B8" s="10" t="inlineStr">
        <is>
          <t>소 재 지</t>
        </is>
      </c>
      <c r="C8" s="11" t="inlineStr">
        <is>
          <t>경기도 ○○시 ○○면 ○○로 123</t>
        </is>
      </c>
      <c r="D8" s="12" t="n"/>
      <c r="E8" s="12" t="n"/>
      <c r="F8" s="12" t="n"/>
    </row>
    <row r="9" ht="24" customHeight="1">
      <c r="A9" s="13" t="n"/>
      <c r="B9" s="10" t="inlineStr">
        <is>
          <t>업태 / 종목</t>
        </is>
      </c>
      <c r="C9" s="11" t="inlineStr">
        <is>
          <t>도소매 / 동물용의약품</t>
        </is>
      </c>
      <c r="D9" s="12" t="n"/>
      <c r="E9" s="10" t="inlineStr">
        <is>
          <t>연락처</t>
        </is>
      </c>
      <c r="F9" s="11" t="inlineStr">
        <is>
          <t>031-000-0000</t>
        </is>
      </c>
    </row>
    <row r="11" ht="36" customHeight="1">
      <c r="A11" s="10" t="inlineStr">
        <is>
          <t>백신명 (제조·공급사)</t>
        </is>
      </c>
      <c r="B11" s="10" t="inlineStr">
        <is>
          <t>수량
(병)</t>
        </is>
      </c>
      <c r="C11" s="10" t="inlineStr">
        <is>
          <t>수량
(마리분)</t>
        </is>
      </c>
      <c r="D11" s="10" t="inlineStr">
        <is>
          <t>단가
(부가세 포함)</t>
        </is>
      </c>
      <c r="E11" s="10" t="inlineStr">
        <is>
          <t>공급액
(부가세 포함)</t>
        </is>
      </c>
      <c r="F11" s="10" t="inlineStr">
        <is>
          <t>비  고</t>
        </is>
      </c>
    </row>
    <row r="12" ht="30" customHeight="1">
      <c r="A12" s="14" t="inlineStr">
        <is>
          <t>바이오아토젠 FMD백신(2가)
㈜에프브이씨</t>
        </is>
      </c>
      <c r="B12" s="15" t="n">
        <v>27</v>
      </c>
      <c r="C12" s="15" t="n">
        <v>675</v>
      </c>
      <c r="D12" s="16" t="n">
        <v>1870</v>
      </c>
      <c r="E12" s="17">
        <f>IF(OR(C12="",D12=""),"",C12*D12)</f>
        <v/>
      </c>
      <c r="F12" s="11" t="n"/>
    </row>
    <row r="13" ht="30" customHeight="1">
      <c r="A13" s="14" t="inlineStr">
        <is>
          <t>베링거</t>
        </is>
      </c>
      <c r="B13" s="15" t="n"/>
      <c r="C13" s="15" t="n"/>
      <c r="D13" s="16" t="n"/>
      <c r="E13" s="17">
        <f>IF(OR(C13="",D13=""),"",C13*D13)</f>
        <v/>
      </c>
      <c r="F13" s="11" t="n"/>
    </row>
    <row r="14" ht="30" customHeight="1">
      <c r="A14" s="14" t="inlineStr">
        <is>
          <t>동방</t>
        </is>
      </c>
      <c r="B14" s="15" t="n"/>
      <c r="C14" s="15" t="n"/>
      <c r="D14" s="16" t="n"/>
      <c r="E14" s="17">
        <f>IF(OR(C14="",D14=""),"",C14*D14)</f>
        <v/>
      </c>
      <c r="F14" s="11" t="n"/>
    </row>
    <row r="15" ht="30" customHeight="1">
      <c r="A15" s="14" t="inlineStr">
        <is>
          <t>대성</t>
        </is>
      </c>
      <c r="B15" s="15" t="n"/>
      <c r="C15" s="15" t="n"/>
      <c r="D15" s="16" t="n"/>
      <c r="E15" s="17">
        <f>IF(OR(C15="",D15=""),"",C15*D15)</f>
        <v/>
      </c>
      <c r="F15" s="11" t="n"/>
    </row>
    <row r="16" ht="30" customHeight="1">
      <c r="A16" s="14" t="n"/>
      <c r="B16" s="15" t="n"/>
      <c r="C16" s="15" t="n"/>
      <c r="D16" s="16" t="n"/>
      <c r="E16" s="17">
        <f>IF(OR(C16="",D16=""),"",C16*D16)</f>
        <v/>
      </c>
      <c r="F16" s="11" t="n"/>
    </row>
    <row r="17" ht="30" customHeight="1">
      <c r="A17" s="14" t="n"/>
      <c r="B17" s="15" t="n"/>
      <c r="C17" s="15" t="n"/>
      <c r="D17" s="16" t="n"/>
      <c r="E17" s="17">
        <f>IF(OR(C17="",D17=""),"",C17*D17)</f>
        <v/>
      </c>
      <c r="F17" s="11" t="n"/>
    </row>
    <row r="18" ht="28" customHeight="1">
      <c r="A18" s="9" t="inlineStr">
        <is>
          <t>합          계</t>
        </is>
      </c>
      <c r="B18" s="13" t="n"/>
      <c r="C18" s="13" t="n"/>
      <c r="D18" s="13" t="n"/>
      <c r="E18" s="18">
        <f>SUM(E12:E17)</f>
        <v/>
      </c>
      <c r="F18" s="19" t="n"/>
    </row>
    <row r="20" ht="28" customHeight="1">
      <c r="A20" s="20" t="inlineStr">
        <is>
          <t>공급액 합계 (부가세 포함)</t>
        </is>
      </c>
      <c r="B20" s="13" t="n"/>
      <c r="C20" s="21">
        <f>E18</f>
        <v/>
      </c>
      <c r="D20" s="12" t="n"/>
      <c r="E20" s="22" t="inlineStr">
        <is>
          <t>※ 단가 × 마리분 수량의 합계</t>
        </is>
      </c>
      <c r="F20" s="12" t="n"/>
    </row>
    <row r="21" ht="28" customHeight="1">
      <c r="A21" s="20" t="inlineStr">
        <is>
          <t>보조금 (지원액)</t>
        </is>
      </c>
      <c r="B21" s="13" t="n"/>
      <c r="C21" s="23" t="n">
        <v>803250</v>
      </c>
      <c r="D21" s="24" t="n"/>
      <c r="E21" s="25">
        <f>IF(C20=0,"",TEXT(C21/C20,"0.0%")&amp;" 지원")</f>
        <v/>
      </c>
      <c r="F21" s="12" t="n"/>
    </row>
    <row r="22" ht="28" customHeight="1">
      <c r="A22" s="20" t="inlineStr">
        <is>
          <t>농가부담금 (자부담)</t>
        </is>
      </c>
      <c r="B22" s="13" t="n"/>
      <c r="C22" s="21">
        <f>C20-C21</f>
        <v/>
      </c>
      <c r="D22" s="12" t="n"/>
      <c r="E22" s="25">
        <f>IF(C20=0,"",TEXT(C22/C20,"0.0%")&amp;" 부담")</f>
        <v/>
      </c>
      <c r="F22" s="12" t="n"/>
    </row>
    <row r="23" ht="28" customHeight="1">
      <c r="A23" s="20" t="inlineStr">
        <is>
          <t>합계금액</t>
        </is>
      </c>
      <c r="B23" s="13" t="n"/>
      <c r="C23" s="26">
        <f>"일금  "&amp;TEXT(C20,"#,##0")&amp;"  원정"</f>
        <v/>
      </c>
      <c r="D23" s="12" t="n"/>
      <c r="E23" s="12" t="n"/>
      <c r="F23" s="12" t="n"/>
    </row>
    <row r="25" ht="30" customHeight="1">
      <c r="A25" s="27">
        <f>"위와 같이 구제역 백신을 공급하였으며, 이 중 농가부담금  "&amp;TEXT(C22,"#,##0")&amp;" 원을 정히 영수합니다."</f>
        <v/>
      </c>
    </row>
    <row r="27" ht="28" customHeight="1">
      <c r="C27" s="28" t="inlineStr">
        <is>
          <t>2026년 10월 27일</t>
        </is>
      </c>
    </row>
    <row r="29" ht="28" customHeight="1">
      <c r="A29" s="29" t="inlineStr">
        <is>
          <t>영수인(공급자) :</t>
        </is>
      </c>
      <c r="B29" s="30" t="inlineStr">
        <is>
          <t>○○축산업협동조합</t>
        </is>
      </c>
      <c r="C29" s="7" t="n"/>
      <c r="D29" s="31" t="inlineStr">
        <is>
          <t>(인)</t>
        </is>
      </c>
      <c r="E29" s="32" t="inlineStr">
        <is>
          <t>입금계좌</t>
        </is>
      </c>
      <c r="F29" s="33" t="n"/>
    </row>
    <row r="30">
      <c r="E30" s="34" t="inlineStr">
        <is>
          <t>000-0000-0000-00</t>
        </is>
      </c>
      <c r="F30" s="35" t="n"/>
    </row>
    <row r="31" ht="28" customHeight="1">
      <c r="A31" s="29" t="inlineStr">
        <is>
          <t>수령인(농장주) :</t>
        </is>
      </c>
      <c r="B31" s="30" t="inlineStr">
        <is>
          <t>홍길동</t>
        </is>
      </c>
      <c r="C31" s="7" t="n"/>
      <c r="D31" s="31" t="inlineStr">
        <is>
          <t>(인 또는 서명)</t>
        </is>
      </c>
      <c r="E31" s="36" t="inlineStr">
        <is>
          <t>예금주 : ○○축협</t>
        </is>
      </c>
      <c r="F31" s="35" t="n"/>
    </row>
    <row r="33">
      <c r="A33" s="37" t="inlineStr">
        <is>
          <t>※ 사용 안내 : 파란색 글씨 칸만 입력하세요 — No., 날짜, 공급받는자, 공급자 정보, 수량(병·마리분), 단가, 보조금, 비고, 서명·계좌.</t>
        </is>
      </c>
    </row>
    <row r="34">
      <c r="A34" s="37" t="inlineStr">
        <is>
          <t>※ 12행은 작성 예시입니다 — 27병 / 675마리분 × 1,870원 = 1,262,250원, 보조금 803,250원 → 농가부담금 459,000원. 실제 사용 시 지우고 입력하세요.</t>
        </is>
      </c>
    </row>
    <row r="35">
      <c r="A35" s="37" t="inlineStr">
        <is>
          <t>※ 자동 계산(검정색, 수식) : 공급액 = 마리분 수량 × 단가 · 합계 = 공급액 합계 · 농가부담금 = 공급액 합계 − 보조금 · 지원율/부담률 및 영수 문구도 자동 반영.</t>
        </is>
      </c>
    </row>
    <row r="36">
      <c r="A36" s="37" t="inlineStr">
        <is>
          <t>※ 노란색 칸(보조금)은 시·군에서 결정한 지원액을 직접 입력하는 핵심 항목입니다. 입력하지 않으면 전액이 농가부담금으로 계산됩니다.</t>
        </is>
      </c>
    </row>
    <row r="37">
      <c r="A37" s="37" t="inlineStr">
        <is>
          <t>※ 금액은 모두 부가가치세가 포함된 공급대가 기준입니다.</t>
        </is>
      </c>
    </row>
  </sheetData>
  <mergeCells count="33">
    <mergeCell ref="C23:F23"/>
    <mergeCell ref="C8:F8"/>
    <mergeCell ref="A37:F37"/>
    <mergeCell ref="B31:C31"/>
    <mergeCell ref="C20:D20"/>
    <mergeCell ref="A33:F33"/>
    <mergeCell ref="E20:F20"/>
    <mergeCell ref="B4:E4"/>
    <mergeCell ref="E29:F29"/>
    <mergeCell ref="E1:F1"/>
    <mergeCell ref="A6:A9"/>
    <mergeCell ref="C6:F6"/>
    <mergeCell ref="D3:F3"/>
    <mergeCell ref="C22:D22"/>
    <mergeCell ref="A25:F25"/>
    <mergeCell ref="C9:D9"/>
    <mergeCell ref="A35:F35"/>
    <mergeCell ref="E31:F31"/>
    <mergeCell ref="A1:D1"/>
    <mergeCell ref="A21:B21"/>
    <mergeCell ref="E30:F30"/>
    <mergeCell ref="C21:D21"/>
    <mergeCell ref="B29:C29"/>
    <mergeCell ref="C27:D27"/>
    <mergeCell ref="A34:F34"/>
    <mergeCell ref="A23:B23"/>
    <mergeCell ref="A22:B22"/>
    <mergeCell ref="A20:B20"/>
    <mergeCell ref="A18:D18"/>
    <mergeCell ref="C7:D7"/>
    <mergeCell ref="A36:F36"/>
    <mergeCell ref="E22:F22"/>
    <mergeCell ref="E21:F21"/>
  </mergeCells>
  <pageMargins left="0.5" right="0.5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6" customWidth="1" min="5" max="5"/>
    <col width="15" customWidth="1" min="6" max="6"/>
  </cols>
  <sheetData>
    <row r="1" ht="40" customHeight="1">
      <c r="A1" s="1" t="inlineStr">
        <is>
          <t>구제역 백신  영 수 증</t>
        </is>
      </c>
      <c r="E1" s="2" t="inlineStr">
        <is>
          <t>(농가 보관용)</t>
        </is>
      </c>
    </row>
    <row r="3">
      <c r="A3" s="3" t="inlineStr">
        <is>
          <t>No.</t>
        </is>
      </c>
      <c r="B3" s="4" t="n"/>
      <c r="D3" s="5" t="n"/>
    </row>
    <row r="4">
      <c r="A4" s="3" t="inlineStr">
        <is>
          <t>공급받는자</t>
        </is>
      </c>
      <c r="B4" s="6" t="n"/>
      <c r="C4" s="7" t="n"/>
      <c r="D4" s="7" t="n"/>
      <c r="E4" s="7" t="n"/>
      <c r="F4" s="8" t="inlineStr">
        <is>
          <t>귀 하</t>
        </is>
      </c>
    </row>
    <row r="6" ht="24" customHeight="1">
      <c r="A6" s="9" t="inlineStr">
        <is>
          <t>공
급
자</t>
        </is>
      </c>
      <c r="B6" s="10" t="inlineStr">
        <is>
          <t>사업자등록번호</t>
        </is>
      </c>
      <c r="C6" s="11" t="n"/>
      <c r="D6" s="12" t="n"/>
      <c r="E6" s="12" t="n"/>
      <c r="F6" s="12" t="n"/>
    </row>
    <row r="7" ht="24" customHeight="1">
      <c r="A7" s="13" t="n"/>
      <c r="B7" s="10" t="inlineStr">
        <is>
          <t>상호(기관명)</t>
        </is>
      </c>
      <c r="C7" s="11" t="n"/>
      <c r="D7" s="12" t="n"/>
      <c r="E7" s="10" t="inlineStr">
        <is>
          <t>대표자</t>
        </is>
      </c>
      <c r="F7" s="11" t="n"/>
    </row>
    <row r="8" ht="24" customHeight="1">
      <c r="A8" s="13" t="n"/>
      <c r="B8" s="10" t="inlineStr">
        <is>
          <t>소 재 지</t>
        </is>
      </c>
      <c r="C8" s="11" t="n"/>
      <c r="D8" s="12" t="n"/>
      <c r="E8" s="12" t="n"/>
      <c r="F8" s="12" t="n"/>
    </row>
    <row r="9" ht="24" customHeight="1">
      <c r="A9" s="13" t="n"/>
      <c r="B9" s="10" t="inlineStr">
        <is>
          <t>업태 / 종목</t>
        </is>
      </c>
      <c r="C9" s="11" t="n"/>
      <c r="D9" s="12" t="n"/>
      <c r="E9" s="10" t="inlineStr">
        <is>
          <t>연락처</t>
        </is>
      </c>
      <c r="F9" s="11" t="n"/>
    </row>
    <row r="11" ht="36" customHeight="1">
      <c r="A11" s="10" t="inlineStr">
        <is>
          <t>백신명 (제조·공급사)</t>
        </is>
      </c>
      <c r="B11" s="10" t="inlineStr">
        <is>
          <t>수량
(병)</t>
        </is>
      </c>
      <c r="C11" s="10" t="inlineStr">
        <is>
          <t>수량
(마리분)</t>
        </is>
      </c>
      <c r="D11" s="10" t="inlineStr">
        <is>
          <t>단가
(부가세 포함)</t>
        </is>
      </c>
      <c r="E11" s="10" t="inlineStr">
        <is>
          <t>공급액
(부가세 포함)</t>
        </is>
      </c>
      <c r="F11" s="10" t="inlineStr">
        <is>
          <t>비  고</t>
        </is>
      </c>
    </row>
    <row r="12" ht="30" customHeight="1">
      <c r="A12" s="14" t="inlineStr">
        <is>
          <t>바이오아토젠 FMD백신(2가)
㈜에프브이씨</t>
        </is>
      </c>
      <c r="B12" s="15" t="n"/>
      <c r="C12" s="15" t="n"/>
      <c r="D12" s="16" t="n"/>
      <c r="E12" s="17">
        <f>IF(OR(C12="",D12=""),"",C12*D12)</f>
        <v/>
      </c>
      <c r="F12" s="11" t="n"/>
    </row>
    <row r="13" ht="30" customHeight="1">
      <c r="A13" s="14" t="inlineStr">
        <is>
          <t>베링거</t>
        </is>
      </c>
      <c r="B13" s="15" t="n"/>
      <c r="C13" s="15" t="n"/>
      <c r="D13" s="16" t="n"/>
      <c r="E13" s="17">
        <f>IF(OR(C13="",D13=""),"",C13*D13)</f>
        <v/>
      </c>
      <c r="F13" s="11" t="n"/>
    </row>
    <row r="14" ht="30" customHeight="1">
      <c r="A14" s="14" t="inlineStr">
        <is>
          <t>동방</t>
        </is>
      </c>
      <c r="B14" s="15" t="n"/>
      <c r="C14" s="15" t="n"/>
      <c r="D14" s="16" t="n"/>
      <c r="E14" s="17">
        <f>IF(OR(C14="",D14=""),"",C14*D14)</f>
        <v/>
      </c>
      <c r="F14" s="11" t="n"/>
    </row>
    <row r="15" ht="30" customHeight="1">
      <c r="A15" s="14" t="inlineStr">
        <is>
          <t>대성</t>
        </is>
      </c>
      <c r="B15" s="15" t="n"/>
      <c r="C15" s="15" t="n"/>
      <c r="D15" s="16" t="n"/>
      <c r="E15" s="17">
        <f>IF(OR(C15="",D15=""),"",C15*D15)</f>
        <v/>
      </c>
      <c r="F15" s="11" t="n"/>
    </row>
    <row r="16" ht="30" customHeight="1">
      <c r="A16" s="14" t="n"/>
      <c r="B16" s="15" t="n"/>
      <c r="C16" s="15" t="n"/>
      <c r="D16" s="16" t="n"/>
      <c r="E16" s="17">
        <f>IF(OR(C16="",D16=""),"",C16*D16)</f>
        <v/>
      </c>
      <c r="F16" s="11" t="n"/>
    </row>
    <row r="17" ht="30" customHeight="1">
      <c r="A17" s="14" t="n"/>
      <c r="B17" s="15" t="n"/>
      <c r="C17" s="15" t="n"/>
      <c r="D17" s="16" t="n"/>
      <c r="E17" s="17">
        <f>IF(OR(C17="",D17=""),"",C17*D17)</f>
        <v/>
      </c>
      <c r="F17" s="11" t="n"/>
    </row>
    <row r="18" ht="28" customHeight="1">
      <c r="A18" s="9" t="inlineStr">
        <is>
          <t>합          계</t>
        </is>
      </c>
      <c r="B18" s="13" t="n"/>
      <c r="C18" s="13" t="n"/>
      <c r="D18" s="13" t="n"/>
      <c r="E18" s="18">
        <f>SUM(E12:E17)</f>
        <v/>
      </c>
      <c r="F18" s="19" t="n"/>
    </row>
    <row r="20" ht="28" customHeight="1">
      <c r="A20" s="20" t="inlineStr">
        <is>
          <t>공급액 합계 (부가세 포함)</t>
        </is>
      </c>
      <c r="B20" s="13" t="n"/>
      <c r="C20" s="21">
        <f>E18</f>
        <v/>
      </c>
      <c r="D20" s="12" t="n"/>
      <c r="E20" s="22" t="inlineStr">
        <is>
          <t>※ 단가 × 마리분 수량의 합계</t>
        </is>
      </c>
      <c r="F20" s="12" t="n"/>
    </row>
    <row r="21" ht="28" customHeight="1">
      <c r="A21" s="20" t="inlineStr">
        <is>
          <t>보조금 (지원액)</t>
        </is>
      </c>
      <c r="B21" s="13" t="n"/>
      <c r="C21" s="23" t="n"/>
      <c r="D21" s="24" t="n"/>
      <c r="E21" s="25">
        <f>IF(C20=0,"",TEXT(C21/C20,"0.0%")&amp;" 지원")</f>
        <v/>
      </c>
      <c r="F21" s="12" t="n"/>
    </row>
    <row r="22" ht="28" customHeight="1">
      <c r="A22" s="20" t="inlineStr">
        <is>
          <t>농가부담금 (자부담)</t>
        </is>
      </c>
      <c r="B22" s="13" t="n"/>
      <c r="C22" s="21">
        <f>C20-C21</f>
        <v/>
      </c>
      <c r="D22" s="12" t="n"/>
      <c r="E22" s="25">
        <f>IF(C20=0,"",TEXT(C22/C20,"0.0%")&amp;" 부담")</f>
        <v/>
      </c>
      <c r="F22" s="12" t="n"/>
    </row>
    <row r="23" ht="28" customHeight="1">
      <c r="A23" s="20" t="inlineStr">
        <is>
          <t>합계금액</t>
        </is>
      </c>
      <c r="B23" s="13" t="n"/>
      <c r="C23" s="26">
        <f>"일금  "&amp;TEXT(C20,"#,##0")&amp;"  원정"</f>
        <v/>
      </c>
      <c r="D23" s="12" t="n"/>
      <c r="E23" s="12" t="n"/>
      <c r="F23" s="12" t="n"/>
    </row>
    <row r="25" ht="30" customHeight="1">
      <c r="A25" s="27">
        <f>"위와 같이 구제역 백신을 공급하였으며, 이 중 농가부담금  "&amp;TEXT(C22,"#,##0")&amp;" 원을 정히 영수합니다."</f>
        <v/>
      </c>
    </row>
    <row r="27" ht="28" customHeight="1">
      <c r="C27" s="28" t="n"/>
    </row>
    <row r="29" ht="28" customHeight="1">
      <c r="A29" s="29" t="inlineStr">
        <is>
          <t>영수인(공급자) :</t>
        </is>
      </c>
      <c r="B29" s="30" t="n"/>
      <c r="C29" s="7" t="n"/>
      <c r="D29" s="31" t="inlineStr">
        <is>
          <t>(인)</t>
        </is>
      </c>
      <c r="E29" s="32" t="inlineStr">
        <is>
          <t>입금계좌</t>
        </is>
      </c>
      <c r="F29" s="33" t="n"/>
    </row>
    <row r="30">
      <c r="E30" s="34" t="n"/>
      <c r="F30" s="35" t="n"/>
    </row>
    <row r="31" ht="28" customHeight="1">
      <c r="A31" s="29" t="inlineStr">
        <is>
          <t>수령인(농장주) :</t>
        </is>
      </c>
      <c r="B31" s="30" t="n"/>
      <c r="C31" s="7" t="n"/>
      <c r="D31" s="31" t="inlineStr">
        <is>
          <t>(인 또는 서명)</t>
        </is>
      </c>
      <c r="E31" s="36" t="n"/>
      <c r="F31" s="35" t="n"/>
    </row>
    <row r="33">
      <c r="A33" s="37" t="inlineStr">
        <is>
          <t>※ 사용 안내 : 파란색 글씨 칸만 입력하세요 — No., 날짜, 공급받는자, 공급자 정보, 수량(병·마리분), 단가, 보조금, 비고, 서명·계좌.</t>
        </is>
      </c>
    </row>
    <row r="34">
      <c r="A34" s="37" t="inlineStr">
        <is>
          <t>※ 자동 계산(검정색, 수식) : 공급액 = 마리분 수량 × 단가 · 합계 = 공급액 합계 · 농가부담금 = 공급액 합계 − 보조금 · 지원율/부담률 및 영수 문구도 자동 반영.</t>
        </is>
      </c>
    </row>
    <row r="35">
      <c r="A35" s="37" t="inlineStr">
        <is>
          <t>※ 노란색 칸(보조금)은 시·군에서 결정한 지원액을 직접 입력하는 핵심 항목입니다. 입력하지 않으면 전액이 농가부담금으로 계산됩니다.</t>
        </is>
      </c>
    </row>
    <row r="36">
      <c r="A36" s="37" t="inlineStr">
        <is>
          <t>※ 금액은 모두 부가가치세가 포함된 공급대가 기준입니다.</t>
        </is>
      </c>
    </row>
  </sheetData>
  <mergeCells count="32">
    <mergeCell ref="C23:F23"/>
    <mergeCell ref="C8:F8"/>
    <mergeCell ref="B31:C31"/>
    <mergeCell ref="C20:D20"/>
    <mergeCell ref="A33:F33"/>
    <mergeCell ref="E20:F20"/>
    <mergeCell ref="B4:E4"/>
    <mergeCell ref="E29:F29"/>
    <mergeCell ref="E1:F1"/>
    <mergeCell ref="A6:A9"/>
    <mergeCell ref="C6:F6"/>
    <mergeCell ref="D3:F3"/>
    <mergeCell ref="C22:D22"/>
    <mergeCell ref="A25:F25"/>
    <mergeCell ref="C9:D9"/>
    <mergeCell ref="A35:F35"/>
    <mergeCell ref="E31:F31"/>
    <mergeCell ref="A1:D1"/>
    <mergeCell ref="A21:B21"/>
    <mergeCell ref="E30:F30"/>
    <mergeCell ref="C21:D21"/>
    <mergeCell ref="B29:C29"/>
    <mergeCell ref="C27:D27"/>
    <mergeCell ref="A34:F34"/>
    <mergeCell ref="A23:B23"/>
    <mergeCell ref="A22:B22"/>
    <mergeCell ref="A20:B20"/>
    <mergeCell ref="A18:D18"/>
    <mergeCell ref="C7:D7"/>
    <mergeCell ref="A36:F36"/>
    <mergeCell ref="E22:F22"/>
    <mergeCell ref="E21:F21"/>
  </mergeCells>
  <pageMargins left="0.5" right="0.5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2026-10-27T06:51:31Z</dcterms:created>
  <dcterms:modified xsi:type="dcterms:W3CDTF">2026-10-27T06:51:31Z</dcterms:modified>
</cp:coreProperties>
</file>